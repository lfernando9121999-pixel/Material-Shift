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ptos Narrow"/>
      <b val="1"/>
      <color rgb="00C00000"/>
      <sz val="16"/>
    </font>
    <font>
      <name val="Aptos Narrow"/>
      <b val="1"/>
      <color rgb="000000FF"/>
      <sz val="11"/>
    </font>
    <font>
      <name val="Aptos Narrow"/>
      <sz val="11"/>
    </font>
    <font>
      <name val="Aptos Narrow"/>
      <b val="1"/>
      <sz val="11"/>
    </font>
    <font>
      <name val="Aptos Narrow"/>
      <color rgb="00FFFFFF"/>
      <sz val="11"/>
    </font>
    <font>
      <name val="Aptos Narrow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Aptos Narrow"/>
      <b val="1"/>
      <color rgb="00C00000"/>
      <sz val="14"/>
    </font>
  </fonts>
  <fills count="9">
    <fill>
      <patternFill/>
    </fill>
    <fill>
      <patternFill patternType="gray125"/>
    </fill>
    <fill>
      <patternFill patternType="solid">
        <fgColor rgb="003A3838"/>
        <bgColor rgb="003A3838"/>
      </patternFill>
    </fill>
    <fill>
      <patternFill patternType="solid">
        <fgColor rgb="00002060"/>
        <bgColor rgb="00002060"/>
      </patternFill>
    </fill>
    <fill>
      <patternFill patternType="solid">
        <fgColor rgb="00004749"/>
        <bgColor rgb="00004749"/>
      </patternFill>
    </fill>
    <fill>
      <patternFill patternType="solid">
        <fgColor rgb="00464444"/>
        <bgColor rgb="00464444"/>
      </patternFill>
    </fill>
    <fill>
      <patternFill patternType="solid">
        <fgColor rgb="00004A82"/>
        <bgColor rgb="00004A82"/>
      </patternFill>
    </fill>
    <fill>
      <patternFill patternType="solid">
        <fgColor rgb="00028411"/>
        <bgColor rgb="00028411"/>
      </patternFill>
    </fill>
    <fill>
      <patternFill patternType="solid">
        <fgColor rgb="00E7ECED"/>
        <bgColor rgb="00E7ECED"/>
      </patternFill>
    </fill>
  </fills>
  <borders count="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 indent="2"/>
    </xf>
    <xf numFmtId="0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0" fontId="8" fillId="8" borderId="1" applyAlignment="1" pivotButton="0" quotePrefix="0" xfId="0">
      <alignment horizontal="center" vertical="center" wrapText="1"/>
    </xf>
    <xf numFmtId="4" fontId="8" fillId="8" borderId="1" applyAlignment="1" pivotButton="0" quotePrefix="0" xfId="0">
      <alignment horizontal="center" vertical="center" wrapText="1"/>
    </xf>
    <xf numFmtId="2" fontId="8" fillId="8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 Producción por Origen</a:t>
            </a:r>
          </a:p>
        </rich>
      </tx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'Resultados'!$B$10:$B$12</f>
            </numRef>
          </cat>
          <val>
            <numRef>
              <f>'Resultados'!$E$10:$E$12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'Resultados'!$B$10:$B$12</f>
            </numRef>
          </cat>
          <val>
            <numRef>
              <f>'Resultados'!$G$10:$G$12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 Producción por Destino</a:t>
            </a:r>
          </a:p>
        </rich>
      </tx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'Resultados'!$B$14:$B$16</f>
            </numRef>
          </cat>
          <val>
            <numRef>
              <f>'Resultados'!$E$14:$E$16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'Resultados'!$B$14:$B$16</f>
            </numRef>
          </cat>
          <val>
            <numRef>
              <f>'Resultados'!$G$14:$G$16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Disponibilidad de Equipos Mineros</a:t>
            </a:r>
          </a:p>
        </rich>
      </tx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'Resultados'!$B$18:$B$28</f>
            </numRef>
          </cat>
          <val>
            <numRef>
              <f>'Resultados'!$E$18:$E$28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'Resultados'!$B$18:$B$28</f>
            </numRef>
          </cat>
          <val>
            <numRef>
              <f>'Resultados'!$G$18:$G$28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.0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Utilización de Equipos Mineros</a:t>
            </a:r>
          </a:p>
        </rich>
      </tx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'Resultados'!$B$30:$B$40</f>
            </numRef>
          </cat>
          <val>
            <numRef>
              <f>'Resultados'!$E$30:$E$40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'Resultados'!$B$30:$B$40</f>
            </numRef>
          </cat>
          <val>
            <numRef>
              <f>'Resultados'!$G$30:$G$40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.0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 Espera de Pala (Hang)</a:t>
            </a:r>
          </a:p>
        </rich>
      </tx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'Resultados'!$B$42:$B$47</f>
            </numRef>
          </cat>
          <val>
            <numRef>
              <f>'Resultados'!$E$42:$E$47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'Resultados'!$B$42:$B$47</f>
            </numRef>
          </cat>
          <val>
            <numRef>
              <f>'Resultados'!$G$42:$G$47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Tiempo de Descarga + Colas en Chancadora</a:t>
            </a:r>
          </a:p>
        </rich>
      </tx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'Resultados'!$B$49:$B$50</f>
            </numRef>
          </cat>
          <val>
            <numRef>
              <f>'Resultados'!$E$49:$E$50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'Resultados'!$B$49:$B$50</f>
            </numRef>
          </cat>
          <val>
            <numRef>
              <f>'Resultados'!$G$49:$G$50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7. Cantidad de Taladros</a:t>
            </a:r>
          </a:p>
        </rich>
      </tx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'Resultados'!$B$52:$B$54</f>
            </numRef>
          </cat>
          <val>
            <numRef>
              <f>'Resultados'!$E$52:$E$54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'Resultados'!$B$52:$B$54</f>
            </numRef>
          </cat>
          <val>
            <numRef>
              <f>'Resultados'!$G$52:$G$54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8. Material Movido por Pala</a:t>
            </a:r>
          </a:p>
        </rich>
      </tx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'Resultados'!$B$56:$B$59</f>
            </numRef>
          </cat>
          <val>
            <numRef>
              <f>'Resultados'!$E$56:$E$59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'Resultados'!$B$56:$B$59</f>
            </numRef>
          </cat>
          <val>
            <numRef>
              <f>'Resultados'!$G$56:$G$59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9. Rendimiento por Pala</a:t>
            </a:r>
          </a:p>
        </rich>
      </tx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'Resultados'!$B$61:$B$64</f>
            </numRef>
          </cat>
          <val>
            <numRef>
              <f>'Resultados'!$E$61:$E$64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'Resultados'!$B$61:$B$64</f>
            </numRef>
          </cat>
          <val>
            <numRef>
              <f>'Resultados'!$G$61:$G$64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5580000" cy="2874572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</row>
      <rowOff>0</rowOff>
    </from>
    <ext cx="5580000" cy="2874572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22</row>
      <rowOff>0</rowOff>
    </from>
    <ext cx="5580000" cy="43000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22</row>
      <rowOff>0</rowOff>
    </from>
    <ext cx="5580000" cy="43000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47</row>
      <rowOff>0</rowOff>
    </from>
    <ext cx="5580000" cy="3409145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47</row>
      <rowOff>0</rowOff>
    </from>
    <ext cx="5580000" cy="2696381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67</row>
      <rowOff>0</rowOff>
    </from>
    <ext cx="5580000" cy="2874572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67</row>
      <rowOff>0</rowOff>
    </from>
    <ext cx="5580000" cy="3052763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</col>
      <colOff>0</colOff>
      <row>85</row>
      <rowOff>0</rowOff>
    </from>
    <ext cx="5580000" cy="3052763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4"/>
  <sheetViews>
    <sheetView zoomScale="85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5.86" customWidth="1" min="2" max="2"/>
    <col width="8.43" customWidth="1" min="3" max="3"/>
    <col width="7.86" customWidth="1" min="4" max="4"/>
    <col width="16.43" customWidth="1" min="5" max="5"/>
    <col width="7.86" customWidth="1" min="6" max="6"/>
    <col width="30" customWidth="1" min="7" max="7"/>
    <col width="4.29" customWidth="1" min="8" max="8"/>
    <col width="14.57" customWidth="1" min="9" max="9"/>
    <col width="4.29" customWidth="1" min="10" max="10"/>
  </cols>
  <sheetData>
    <row r="2" ht="21" customHeight="1">
      <c r="B2" s="1" t="inlineStr">
        <is>
          <t>Resultados de Simulación</t>
        </is>
      </c>
    </row>
    <row r="3">
      <c r="B3" s="2" t="inlineStr">
        <is>
          <t>Caso xPBudget_bl_1_4-MODS4</t>
        </is>
      </c>
    </row>
    <row r="4">
      <c r="B4" s="3" t="inlineStr">
        <is>
          <t>Fecha de Emisión: 12:12 AM 06/10/2026</t>
        </is>
      </c>
    </row>
    <row r="6">
      <c r="E6" s="4" t="inlineStr">
        <is>
          <t>A</t>
        </is>
      </c>
      <c r="G6" s="4" t="inlineStr">
        <is>
          <t>B</t>
        </is>
      </c>
      <c r="I6" s="4" t="inlineStr">
        <is>
          <t>B-A</t>
        </is>
      </c>
    </row>
    <row r="7" ht="30" customHeight="1">
      <c r="E7" s="5" t="inlineStr">
        <is>
          <t>Plan Budget 2027</t>
        </is>
      </c>
      <c r="G7" s="6" t="inlineStr">
        <is>
          <t>xPBudget_bl_1_4-MODS4</t>
        </is>
      </c>
      <c r="I7" s="4" t="inlineStr">
        <is>
          <t>Variación</t>
        </is>
      </c>
    </row>
    <row r="9" ht="24" customHeight="1">
      <c r="B9" s="7" t="inlineStr">
        <is>
          <t>1.  Producción por Origen</t>
        </is>
      </c>
      <c r="C9" s="8" t="n"/>
      <c r="E9" s="9" t="n"/>
      <c r="G9" s="10" t="n"/>
      <c r="I9" s="11" t="n"/>
    </row>
    <row r="10" ht="24" customHeight="1">
      <c r="B10" s="12" t="inlineStr">
        <is>
          <t>1.1  Material Expit</t>
        </is>
      </c>
      <c r="C10" s="13" t="inlineStr">
        <is>
          <t>Mt</t>
        </is>
      </c>
      <c r="E10" s="14" t="n">
        <v>279.7</v>
      </c>
      <c r="G10" s="14" t="n">
        <v>274.215988</v>
      </c>
      <c r="I10" s="15">
        <f>IFERROR(G10/E10,"-")</f>
        <v/>
      </c>
    </row>
    <row r="11" ht="24" customHeight="1">
      <c r="B11" s="12" t="inlineStr">
        <is>
          <t>1.2   Material Remanejo</t>
        </is>
      </c>
      <c r="C11" s="13" t="inlineStr">
        <is>
          <t>Mt</t>
        </is>
      </c>
      <c r="E11" s="14" t="n">
        <v>25.2</v>
      </c>
      <c r="G11" s="14" t="n">
        <v>25.04067</v>
      </c>
      <c r="I11" s="15">
        <f>IFERROR(G11/E11,"-")</f>
        <v/>
      </c>
    </row>
    <row r="12" ht="24" customHeight="1">
      <c r="B12" s="12" t="inlineStr">
        <is>
          <t>1.3   Total Movido</t>
        </is>
      </c>
      <c r="C12" s="13" t="inlineStr">
        <is>
          <t>Mt</t>
        </is>
      </c>
      <c r="E12" s="14" t="n">
        <v>304.8</v>
      </c>
      <c r="G12" s="14" t="n">
        <v>299.256658</v>
      </c>
      <c r="I12" s="15">
        <f>IFERROR(G12/E12,"-")</f>
        <v/>
      </c>
    </row>
    <row r="13" ht="24" customHeight="1">
      <c r="B13" s="7" t="inlineStr">
        <is>
          <t>2.  Producción por Destino</t>
        </is>
      </c>
      <c r="C13" s="8" t="n"/>
      <c r="E13" s="9" t="n"/>
      <c r="G13" s="10" t="n"/>
      <c r="I13" s="11" t="n"/>
    </row>
    <row r="14" ht="24" customHeight="1">
      <c r="B14" s="12" t="inlineStr">
        <is>
          <t>2.1 Hacia Chancador Ore</t>
        </is>
      </c>
      <c r="C14" s="13" t="inlineStr">
        <is>
          <t>Mt</t>
        </is>
      </c>
      <c r="E14" s="14" t="n">
        <v>51</v>
      </c>
      <c r="G14" s="14" t="n">
        <v>50.694501</v>
      </c>
      <c r="I14" s="15">
        <f>IFERROR(G14/E14,"-")</f>
        <v/>
      </c>
    </row>
    <row r="15" ht="24" customHeight="1">
      <c r="B15" s="12" t="inlineStr">
        <is>
          <t>2.2 Hacia StockPiles Ore</t>
        </is>
      </c>
      <c r="C15" s="13" t="inlineStr">
        <is>
          <t>Mt</t>
        </is>
      </c>
      <c r="E15" s="14" t="n">
        <v>21.8</v>
      </c>
      <c r="G15" s="14" t="n">
        <v>21.613312</v>
      </c>
      <c r="I15" s="15">
        <f>IFERROR(G15/E15,"-")</f>
        <v/>
      </c>
    </row>
    <row r="16" ht="24" customHeight="1">
      <c r="B16" s="12" t="inlineStr">
        <is>
          <t>2.3 Hacia Botaderos</t>
        </is>
      </c>
      <c r="C16" s="13" t="inlineStr">
        <is>
          <t>Mt</t>
        </is>
      </c>
      <c r="E16" s="14" t="n">
        <v>232</v>
      </c>
      <c r="G16" s="14" t="n">
        <v>226.948845</v>
      </c>
      <c r="I16" s="15">
        <f>IFERROR(G16/E16,"-")</f>
        <v/>
      </c>
    </row>
    <row r="17" ht="24" customHeight="1">
      <c r="B17" s="7" t="inlineStr">
        <is>
          <t>3. Disponibilidad de Equipos Mineros</t>
        </is>
      </c>
      <c r="C17" s="8" t="n"/>
      <c r="E17" s="9" t="n"/>
      <c r="G17" s="10" t="n"/>
      <c r="I17" s="11" t="n"/>
    </row>
    <row r="18" ht="24" customHeight="1">
      <c r="B18" s="12" t="inlineStr">
        <is>
          <t>3.1   Perforadora Precorte</t>
        </is>
      </c>
      <c r="C18" s="13" t="inlineStr">
        <is>
          <t>%</t>
        </is>
      </c>
      <c r="E18" s="15" t="n">
        <v>0.792</v>
      </c>
      <c r="G18" s="15" t="n">
        <v>0.797462</v>
      </c>
      <c r="I18" s="15">
        <f>IFERROR(G18-E18,"-")</f>
        <v/>
      </c>
    </row>
    <row r="19" ht="24" customHeight="1">
      <c r="B19" s="12" t="inlineStr">
        <is>
          <t>3.2   Perforadora Buffer</t>
        </is>
      </c>
      <c r="C19" s="13" t="inlineStr">
        <is>
          <t>%</t>
        </is>
      </c>
      <c r="E19" s="15" t="n">
        <v>0.9370000000000001</v>
      </c>
      <c r="G19" s="15" t="n">
        <v>0.940256</v>
      </c>
      <c r="I19" s="15">
        <f>IFERROR(G19-E19,"-")</f>
        <v/>
      </c>
    </row>
    <row r="20" ht="24" customHeight="1">
      <c r="B20" s="12" t="inlineStr">
        <is>
          <t>3.3   Perforadora Producción – Eléctrica</t>
        </is>
      </c>
      <c r="C20" s="13" t="inlineStr">
        <is>
          <t>%</t>
        </is>
      </c>
      <c r="E20" s="15" t="n">
        <v>0.824</v>
      </c>
      <c r="G20" s="15" t="n">
        <v>0.829328</v>
      </c>
      <c r="I20" s="15">
        <f>IFERROR(G20-E20,"-")</f>
        <v/>
      </c>
    </row>
    <row r="21" ht="24" customHeight="1">
      <c r="B21" s="12" t="inlineStr">
        <is>
          <t>3.4   Perforadora Producción – Diesel</t>
        </is>
      </c>
      <c r="C21" s="13" t="inlineStr">
        <is>
          <t>%</t>
        </is>
      </c>
      <c r="E21" s="15" t="n">
        <v>0.85</v>
      </c>
      <c r="G21" s="15" t="n">
        <v>0.847654</v>
      </c>
      <c r="I21" s="15">
        <f>IFERROR(G21-E21,"-")</f>
        <v/>
      </c>
    </row>
    <row r="22" ht="24" customHeight="1">
      <c r="B22" s="12" t="inlineStr">
        <is>
          <t>3.5   Pala P&amp;H 4800 XPC</t>
        </is>
      </c>
      <c r="C22" s="13" t="inlineStr">
        <is>
          <t>%</t>
        </is>
      </c>
      <c r="E22" s="15" t="n">
        <v>0.8864</v>
      </c>
      <c r="G22" s="15" t="n">
        <v>0.88619</v>
      </c>
      <c r="I22" s="15">
        <f>IFERROR(G22-E22,"-")</f>
        <v/>
      </c>
    </row>
    <row r="23" ht="24" customHeight="1">
      <c r="B23" s="12" t="inlineStr">
        <is>
          <t>3.6   Pala P&amp;H 4100 XPC</t>
        </is>
      </c>
      <c r="C23" s="13" t="inlineStr">
        <is>
          <t>%</t>
        </is>
      </c>
      <c r="E23" s="15" t="n">
        <v>0.8352000000000001</v>
      </c>
      <c r="G23" s="15" t="n">
        <v>0.829431</v>
      </c>
      <c r="I23" s="15">
        <f>IFERROR(G23-E23,"-")</f>
        <v/>
      </c>
    </row>
    <row r="24" ht="24" customHeight="1">
      <c r="B24" s="12" t="inlineStr">
        <is>
          <t>3.7   Pala EX 8000</t>
        </is>
      </c>
      <c r="C24" s="13" t="inlineStr">
        <is>
          <t>%</t>
        </is>
      </c>
      <c r="E24" s="15" t="n">
        <v>0.9</v>
      </c>
      <c r="G24" s="15" t="n">
        <v>0.90364</v>
      </c>
      <c r="I24" s="15">
        <f>IFERROR(G24-E24,"-")</f>
        <v/>
      </c>
    </row>
    <row r="25" ht="24" customHeight="1">
      <c r="B25" s="12" t="inlineStr">
        <is>
          <t>3.8   Pala EX 5600-6</t>
        </is>
      </c>
      <c r="C25" s="13" t="inlineStr">
        <is>
          <t>%</t>
        </is>
      </c>
      <c r="E25" s="15" t="n">
        <v>0.8351</v>
      </c>
      <c r="G25" s="15" t="n">
        <v>0.850561</v>
      </c>
      <c r="I25" s="15">
        <f>IFERROR(G25-E25,"-")</f>
        <v/>
      </c>
    </row>
    <row r="26" ht="24" customHeight="1">
      <c r="B26" s="12" t="inlineStr">
        <is>
          <t>3.9  Camiones KOM 930</t>
        </is>
      </c>
      <c r="C26" s="13" t="inlineStr">
        <is>
          <t>%</t>
        </is>
      </c>
      <c r="E26" s="15" t="n">
        <v>0.8528</v>
      </c>
      <c r="G26" s="15" t="n">
        <v>0.849302</v>
      </c>
      <c r="I26" s="15">
        <f>IFERROR(G26-E26,"-")</f>
        <v/>
      </c>
    </row>
    <row r="27" ht="24" customHeight="1">
      <c r="B27" s="12" t="inlineStr">
        <is>
          <t>3.10  Camiones KOM 980</t>
        </is>
      </c>
      <c r="C27" s="13" t="inlineStr">
        <is>
          <t>%</t>
        </is>
      </c>
      <c r="E27" s="15" t="n">
        <v>0.8925</v>
      </c>
      <c r="G27" s="15" t="n">
        <v>0.888502</v>
      </c>
      <c r="I27" s="15">
        <f>IFERROR(G27-E27,"-")</f>
        <v/>
      </c>
    </row>
    <row r="28" ht="24" customHeight="1">
      <c r="B28" s="12" t="inlineStr">
        <is>
          <t>3.11  Camiones CAT 798</t>
        </is>
      </c>
      <c r="C28" s="13" t="inlineStr">
        <is>
          <t>%</t>
        </is>
      </c>
      <c r="E28" s="15" t="n">
        <v>0.9044</v>
      </c>
      <c r="G28" s="15" t="n">
        <v>0.9037500000000001</v>
      </c>
      <c r="I28" s="15">
        <f>IFERROR(G28-E28,"-")</f>
        <v/>
      </c>
    </row>
    <row r="29" ht="24" customHeight="1">
      <c r="B29" s="7" t="inlineStr">
        <is>
          <t>4. Utilización de Equipos Mineros</t>
        </is>
      </c>
      <c r="C29" s="8" t="n"/>
      <c r="E29" s="9" t="n"/>
      <c r="G29" s="10" t="n"/>
      <c r="I29" s="11" t="n"/>
    </row>
    <row r="30" ht="24" customHeight="1">
      <c r="B30" s="12" t="inlineStr">
        <is>
          <t>4.1   Perforadora Precorte</t>
        </is>
      </c>
      <c r="C30" s="13" t="inlineStr">
        <is>
          <t>%</t>
        </is>
      </c>
      <c r="E30" s="15" t="n">
        <v>0.6</v>
      </c>
      <c r="G30" s="15" t="n">
        <v>0.620314</v>
      </c>
      <c r="I30" s="15">
        <f>IFERROR(G30-E30,"-")</f>
        <v/>
      </c>
    </row>
    <row r="31" ht="24" customHeight="1">
      <c r="B31" s="12" t="inlineStr">
        <is>
          <t>4.2   Perforadora Buffer</t>
        </is>
      </c>
      <c r="C31" s="13" t="inlineStr">
        <is>
          <t>%</t>
        </is>
      </c>
      <c r="E31" s="15" t="inlineStr">
        <is>
          <t>-</t>
        </is>
      </c>
      <c r="G31" s="15" t="n">
        <v>0.288902</v>
      </c>
      <c r="I31" s="15">
        <f>IFERROR(G31-E31,"-")</f>
        <v/>
      </c>
    </row>
    <row r="32" ht="24" customHeight="1">
      <c r="B32" s="12" t="inlineStr">
        <is>
          <t>4.3   Perforadora Producción – Eléctrica</t>
        </is>
      </c>
      <c r="C32" s="13" t="inlineStr">
        <is>
          <t>%</t>
        </is>
      </c>
      <c r="E32" s="15" t="n">
        <v>0.677</v>
      </c>
      <c r="G32" s="15" t="n">
        <v>0.498915</v>
      </c>
      <c r="I32" s="15">
        <f>IFERROR(G32-E32,"-")</f>
        <v/>
      </c>
    </row>
    <row r="33" ht="24" customHeight="1">
      <c r="B33" s="12" t="inlineStr">
        <is>
          <t>4.4   Perforadora Producción – Diesel</t>
        </is>
      </c>
      <c r="C33" s="13" t="inlineStr">
        <is>
          <t>%</t>
        </is>
      </c>
      <c r="E33" s="15" t="n">
        <v>0.75</v>
      </c>
      <c r="G33" s="15" t="n">
        <v>0.498102</v>
      </c>
      <c r="I33" s="15">
        <f>IFERROR(G33-E33,"-")</f>
        <v/>
      </c>
    </row>
    <row r="34" ht="24" customHeight="1">
      <c r="B34" s="12" t="inlineStr">
        <is>
          <t>4.5   Pala P&amp;H 4800 XPC</t>
        </is>
      </c>
      <c r="C34" s="13" t="inlineStr">
        <is>
          <t>%</t>
        </is>
      </c>
      <c r="E34" s="15" t="n">
        <v>0.835</v>
      </c>
      <c r="G34" s="15" t="n">
        <v>0.678393</v>
      </c>
      <c r="I34" s="15">
        <f>IFERROR(G34-E34,"-")</f>
        <v/>
      </c>
    </row>
    <row r="35" ht="24" customHeight="1">
      <c r="B35" s="12" t="inlineStr">
        <is>
          <t>4.6   Pala P&amp;H 4100 XPC</t>
        </is>
      </c>
      <c r="C35" s="13" t="inlineStr">
        <is>
          <t>%</t>
        </is>
      </c>
      <c r="E35" s="15" t="n">
        <v>0.803</v>
      </c>
      <c r="G35" s="15" t="n">
        <v>0.6438430000000001</v>
      </c>
      <c r="I35" s="15">
        <f>IFERROR(G35-E35,"-")</f>
        <v/>
      </c>
    </row>
    <row r="36" ht="24" customHeight="1">
      <c r="B36" s="12" t="inlineStr">
        <is>
          <t>4.7   Pala EX 8000</t>
        </is>
      </c>
      <c r="C36" s="13" t="inlineStr">
        <is>
          <t>%</t>
        </is>
      </c>
      <c r="E36" s="15" t="n">
        <v>0.701</v>
      </c>
      <c r="G36" s="15" t="n">
        <v>0.7731479999999999</v>
      </c>
      <c r="I36" s="15">
        <f>IFERROR(G36-E36,"-")</f>
        <v/>
      </c>
    </row>
    <row r="37" ht="24" customHeight="1">
      <c r="B37" s="12" t="inlineStr">
        <is>
          <t>4.8   Pala EX 5600-6</t>
        </is>
      </c>
      <c r="C37" s="13" t="inlineStr">
        <is>
          <t>%</t>
        </is>
      </c>
      <c r="E37" s="15" t="n">
        <v>0.701</v>
      </c>
      <c r="G37" s="15" t="n">
        <v>0.834156</v>
      </c>
      <c r="I37" s="15">
        <f>IFERROR(G37-E37,"-")</f>
        <v/>
      </c>
    </row>
    <row r="38" ht="24" customHeight="1">
      <c r="B38" s="12" t="inlineStr">
        <is>
          <t>4.9  Camiones KOM 930</t>
        </is>
      </c>
      <c r="C38" s="13" t="inlineStr">
        <is>
          <t>%</t>
        </is>
      </c>
      <c r="E38" s="15" t="n">
        <v>0.833</v>
      </c>
      <c r="G38" s="15" t="n">
        <v>0.826416</v>
      </c>
      <c r="I38" s="15">
        <f>IFERROR(G38-E38,"-")</f>
        <v/>
      </c>
    </row>
    <row r="39" ht="24" customHeight="1">
      <c r="B39" s="12" t="inlineStr">
        <is>
          <t>4.10  Camiones KOM 980</t>
        </is>
      </c>
      <c r="C39" s="13" t="inlineStr">
        <is>
          <t>%</t>
        </is>
      </c>
      <c r="E39" s="15" t="n">
        <v>0.833</v>
      </c>
      <c r="G39" s="15" t="n">
        <v>0.8369450000000001</v>
      </c>
      <c r="I39" s="15">
        <f>IFERROR(G39-E39,"-")</f>
        <v/>
      </c>
    </row>
    <row r="40" ht="24" customHeight="1">
      <c r="B40" s="12" t="inlineStr">
        <is>
          <t>4.11  Camiones CAT 798</t>
        </is>
      </c>
      <c r="C40" s="13" t="inlineStr">
        <is>
          <t>%</t>
        </is>
      </c>
      <c r="E40" s="15" t="n">
        <v>0.833</v>
      </c>
      <c r="G40" s="15" t="n">
        <v>0.837717</v>
      </c>
      <c r="I40" s="15">
        <f>IFERROR(G40-E40,"-")</f>
        <v/>
      </c>
    </row>
    <row r="41" ht="24" customHeight="1">
      <c r="B41" s="7" t="inlineStr">
        <is>
          <t>5.  Espera de Pala (Hang)</t>
        </is>
      </c>
      <c r="C41" s="8" t="n"/>
      <c r="E41" s="9" t="n"/>
      <c r="G41" s="10" t="n"/>
      <c r="I41" s="11" t="n"/>
    </row>
    <row r="42" ht="24" customHeight="1">
      <c r="B42" s="12" t="inlineStr">
        <is>
          <t>5.1  P&amp;H 4800 XPC – KOM 930</t>
        </is>
      </c>
      <c r="C42" s="13" t="inlineStr">
        <is>
          <t>min</t>
        </is>
      </c>
      <c r="E42" s="16" t="n">
        <v>0.8</v>
      </c>
      <c r="G42" s="16" t="n">
        <v>0.314215</v>
      </c>
      <c r="I42" s="17">
        <f>IFERROR(G42-E42,"-")</f>
        <v/>
      </c>
    </row>
    <row r="43" ht="24" customHeight="1">
      <c r="B43" s="12" t="inlineStr">
        <is>
          <t>5.2  P&amp;H 4100 XPC – KOM 930</t>
        </is>
      </c>
      <c r="C43" s="13" t="inlineStr">
        <is>
          <t>min</t>
        </is>
      </c>
      <c r="E43" s="16" t="n">
        <v>0.8</v>
      </c>
      <c r="G43" s="16" t="n">
        <v>0.494946</v>
      </c>
      <c r="I43" s="17">
        <f>IFERROR(G43-E43,"-")</f>
        <v/>
      </c>
    </row>
    <row r="44" ht="24" customHeight="1">
      <c r="B44" s="12" t="inlineStr">
        <is>
          <t>5.3. EX 8000 / EX 5600-6 – KOM 930</t>
        </is>
      </c>
      <c r="C44" s="13" t="inlineStr">
        <is>
          <t>min</t>
        </is>
      </c>
      <c r="E44" s="16" t="n">
        <v>2.58</v>
      </c>
      <c r="G44" s="16" t="n">
        <v>1.182398</v>
      </c>
      <c r="I44" s="17">
        <f>IFERROR(G44-E44,"-")</f>
        <v/>
      </c>
    </row>
    <row r="45" ht="24" customHeight="1">
      <c r="B45" s="12" t="inlineStr">
        <is>
          <t>5.4  P&amp;H 4800 XPC – UltraClass</t>
        </is>
      </c>
      <c r="C45" s="13" t="inlineStr">
        <is>
          <t>min</t>
        </is>
      </c>
      <c r="E45" s="16" t="n">
        <v>0.7</v>
      </c>
      <c r="G45" s="16" t="n">
        <v>0.280105</v>
      </c>
      <c r="I45" s="17">
        <f>IFERROR(G45-E45,"-")</f>
        <v/>
      </c>
    </row>
    <row r="46" ht="24" customHeight="1">
      <c r="B46" s="12" t="inlineStr">
        <is>
          <t>5.5  P&amp;H 4100 XPC – UltraClass</t>
        </is>
      </c>
      <c r="C46" s="13" t="inlineStr">
        <is>
          <t>min</t>
        </is>
      </c>
      <c r="E46" s="16" t="n">
        <v>0.8</v>
      </c>
      <c r="G46" s="16" t="n">
        <v>0.443407</v>
      </c>
      <c r="I46" s="17">
        <f>IFERROR(G46-E46,"-")</f>
        <v/>
      </c>
    </row>
    <row r="47" ht="24" customHeight="1">
      <c r="B47" s="12" t="inlineStr">
        <is>
          <t>5.6. EX 8000 / EX 5600-6 – UltraClass</t>
        </is>
      </c>
      <c r="C47" s="13" t="inlineStr">
        <is>
          <t>min</t>
        </is>
      </c>
      <c r="E47" s="16" t="n">
        <v>2.43</v>
      </c>
      <c r="G47" s="16" t="n">
        <v>1.177731</v>
      </c>
      <c r="I47" s="17">
        <f>IFERROR(G47-E47,"-")</f>
        <v/>
      </c>
    </row>
    <row r="48" ht="24" customHeight="1">
      <c r="B48" s="7" t="inlineStr">
        <is>
          <t>6. Tiempo de Descarga + Colas en Chancadora</t>
        </is>
      </c>
      <c r="C48" s="8" t="n"/>
      <c r="E48" s="9" t="n"/>
      <c r="G48" s="10" t="n"/>
      <c r="I48" s="11" t="n"/>
    </row>
    <row r="49" ht="24" customHeight="1">
      <c r="B49" s="12" t="inlineStr">
        <is>
          <t>6.1 KOM 930</t>
        </is>
      </c>
      <c r="C49" s="13" t="inlineStr">
        <is>
          <t>min</t>
        </is>
      </c>
      <c r="E49" s="16" t="n">
        <v>8</v>
      </c>
      <c r="G49" s="16" t="n">
        <v>10.347287</v>
      </c>
      <c r="I49" s="17">
        <f>IFERROR(G49-E49,"-")</f>
        <v/>
      </c>
    </row>
    <row r="50" ht="24" customHeight="1">
      <c r="B50" s="12" t="inlineStr">
        <is>
          <t>6.2 UltraClass</t>
        </is>
      </c>
      <c r="C50" s="13" t="inlineStr">
        <is>
          <t>min</t>
        </is>
      </c>
      <c r="E50" s="16" t="n">
        <v>8</v>
      </c>
      <c r="G50" s="16" t="n">
        <v>10.621771</v>
      </c>
      <c r="I50" s="17">
        <f>IFERROR(G50-E50,"-")</f>
        <v/>
      </c>
    </row>
    <row r="51" ht="24" customHeight="1">
      <c r="B51" s="7" t="inlineStr">
        <is>
          <t>7. Cantidad de Taladros</t>
        </is>
      </c>
      <c r="C51" s="8" t="n"/>
      <c r="E51" s="9" t="n"/>
      <c r="G51" s="10" t="n"/>
      <c r="I51" s="11" t="n"/>
    </row>
    <row r="52" ht="24" customHeight="1">
      <c r="B52" s="12" t="inlineStr">
        <is>
          <t>7.1  Precorte (Smart ROC D65)</t>
        </is>
      </c>
      <c r="C52" s="13" t="inlineStr">
        <is>
          <t>talad</t>
        </is>
      </c>
      <c r="E52" s="18" t="inlineStr">
        <is>
          <t>-</t>
        </is>
      </c>
      <c r="G52" s="18" t="n">
        <v>36832</v>
      </c>
      <c r="I52" s="18">
        <f>IFERROR(G52-E52,"-")</f>
        <v/>
      </c>
    </row>
    <row r="53" ht="24" customHeight="1">
      <c r="B53" s="12" t="inlineStr">
        <is>
          <t>7.2  Buffer (DMM2)</t>
        </is>
      </c>
      <c r="C53" s="13" t="inlineStr">
        <is>
          <t>talad</t>
        </is>
      </c>
      <c r="E53" s="18" t="inlineStr">
        <is>
          <t>-</t>
        </is>
      </c>
      <c r="G53" s="18" t="n">
        <v>10586</v>
      </c>
      <c r="I53" s="18">
        <f>IFERROR(G53-E53,"-")</f>
        <v/>
      </c>
    </row>
    <row r="54" ht="24" customHeight="1">
      <c r="B54" s="12" t="inlineStr">
        <is>
          <t>7.3. Producción (Diesel / Eléctricas)</t>
        </is>
      </c>
      <c r="C54" s="13" t="inlineStr">
        <is>
          <t>talad</t>
        </is>
      </c>
      <c r="E54" s="18" t="inlineStr">
        <is>
          <t>-</t>
        </is>
      </c>
      <c r="G54" s="18" t="n">
        <v>81300</v>
      </c>
      <c r="I54" s="18">
        <f>IFERROR(G54-E54,"-")</f>
        <v/>
      </c>
    </row>
    <row r="55" ht="24" customHeight="1">
      <c r="B55" s="7" t="inlineStr">
        <is>
          <t>8. Material Movido por Pala</t>
        </is>
      </c>
      <c r="C55" s="8" t="n"/>
      <c r="E55" s="9" t="n"/>
      <c r="G55" s="10" t="n"/>
      <c r="I55" s="11" t="n"/>
    </row>
    <row r="56" ht="24" customHeight="1">
      <c r="B56" s="12" t="inlineStr">
        <is>
          <t>8.1  P&amp;H 4800 XPC</t>
        </is>
      </c>
      <c r="C56" s="13" t="inlineStr">
        <is>
          <t>Mtpa</t>
        </is>
      </c>
      <c r="E56" s="14" t="inlineStr">
        <is>
          <t>-</t>
        </is>
      </c>
      <c r="G56" s="14" t="n">
        <v>36.659263</v>
      </c>
      <c r="I56" s="17">
        <f>IFERROR(G56-E56,"-")</f>
        <v/>
      </c>
    </row>
    <row r="57" ht="24" customHeight="1">
      <c r="B57" s="12" t="inlineStr">
        <is>
          <t>8.2   P&amp;H 4100 XPC</t>
        </is>
      </c>
      <c r="C57" s="13" t="inlineStr">
        <is>
          <t>Mtpa</t>
        </is>
      </c>
      <c r="E57" s="14" t="inlineStr">
        <is>
          <t>-</t>
        </is>
      </c>
      <c r="G57" s="14" t="n">
        <v>25.544125</v>
      </c>
      <c r="I57" s="17">
        <f>IFERROR(G57-E57,"-")</f>
        <v/>
      </c>
    </row>
    <row r="58" ht="24" customHeight="1">
      <c r="B58" s="12" t="inlineStr">
        <is>
          <t>8.3. EX 8000</t>
        </is>
      </c>
      <c r="C58" s="13" t="inlineStr">
        <is>
          <t>Mtpa</t>
        </is>
      </c>
      <c r="E58" s="14" t="inlineStr">
        <is>
          <t>-</t>
        </is>
      </c>
      <c r="G58" s="14" t="n">
        <v>19.936025</v>
      </c>
      <c r="I58" s="17">
        <f>IFERROR(G58-E58,"-")</f>
        <v/>
      </c>
    </row>
    <row r="59" ht="24" customHeight="1">
      <c r="B59" s="12" t="inlineStr">
        <is>
          <t>8.4   EX 5600-6</t>
        </is>
      </c>
      <c r="C59" s="13" t="inlineStr">
        <is>
          <t>Mtpa</t>
        </is>
      </c>
      <c r="E59" s="14" t="inlineStr">
        <is>
          <t>-</t>
        </is>
      </c>
      <c r="G59" s="14" t="n">
        <v>20.81111</v>
      </c>
      <c r="I59" s="17">
        <f>IFERROR(G59-E59,"-")</f>
        <v/>
      </c>
    </row>
    <row r="60" ht="24" customHeight="1">
      <c r="B60" s="7" t="inlineStr">
        <is>
          <t>9. Rendimiento por Pala</t>
        </is>
      </c>
      <c r="C60" s="8" t="n"/>
      <c r="E60" s="9" t="n"/>
      <c r="G60" s="10" t="n"/>
      <c r="I60" s="11" t="n"/>
    </row>
    <row r="61" ht="24" customHeight="1">
      <c r="B61" s="12" t="inlineStr">
        <is>
          <t>8.1  P&amp;H 4800 XPC</t>
        </is>
      </c>
      <c r="C61" s="13" t="inlineStr">
        <is>
          <t>TPH</t>
        </is>
      </c>
      <c r="E61" s="18" t="n">
        <v>5900</v>
      </c>
      <c r="G61" s="18" t="n">
        <v>6995.181439</v>
      </c>
      <c r="I61" s="15">
        <f>IFERROR((G61-E61)/E61,"-")</f>
        <v/>
      </c>
    </row>
    <row r="62" ht="24" customHeight="1">
      <c r="B62" s="12" t="inlineStr">
        <is>
          <t>8.2   P&amp;H 4100 XPC</t>
        </is>
      </c>
      <c r="C62" s="13" t="inlineStr">
        <is>
          <t>TPH</t>
        </is>
      </c>
      <c r="E62" s="18" t="n">
        <v>5126</v>
      </c>
      <c r="G62" s="18" t="n">
        <v>5488.677929</v>
      </c>
      <c r="I62" s="15">
        <f>IFERROR((G62-E62)/E62,"-")</f>
        <v/>
      </c>
    </row>
    <row r="63" ht="24" customHeight="1">
      <c r="B63" s="12" t="inlineStr">
        <is>
          <t>8.3. EX 8000</t>
        </is>
      </c>
      <c r="C63" s="13" t="inlineStr">
        <is>
          <t>TPH</t>
        </is>
      </c>
      <c r="E63" s="18" t="n">
        <v>2800</v>
      </c>
      <c r="G63" s="18" t="n">
        <v>3273.392086</v>
      </c>
      <c r="I63" s="15">
        <f>IFERROR((G63-E63)/E63,"-")</f>
        <v/>
      </c>
    </row>
    <row r="64" ht="24" customHeight="1">
      <c r="B64" s="12" t="inlineStr">
        <is>
          <t>8.4   EX 5600-6</t>
        </is>
      </c>
      <c r="C64" s="13" t="inlineStr">
        <is>
          <t>TPH</t>
        </is>
      </c>
      <c r="E64" s="18" t="n">
        <v>2207</v>
      </c>
      <c r="G64" s="18" t="n">
        <v>3364.805749</v>
      </c>
      <c r="I64" s="15">
        <f>IFERROR((G64-E64)/E64,"-")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sheetData>
    <row r="2">
      <c r="B2" s="19" t="inlineStr">
        <is>
          <t>Gráficos Comparativos – Plan vs Simulación</t>
        </is>
      </c>
    </row>
    <row r="3">
      <c r="B3" s="2" t="inlineStr">
        <is>
          <t>Caso xPBudget_bl_1_4-MODS4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2026-10-06T05:12:05Z</dcterms:created>
  <dcterms:modified xmlns:dcterms="http://purl.org/dc/terms/" xmlns:xsi="http://www.w3.org/2001/XMLSchema-instance" xsi:type="dcterms:W3CDTF">2026-10-06T05:12:05Z</dcterms:modified>
</cp:coreProperties>
</file>